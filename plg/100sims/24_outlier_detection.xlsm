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tiaisa\WorkingProgress\Archive\ExcelVBAPlayground\plg\100sims\"/>
    </mc:Choice>
  </mc:AlternateContent>
  <xr:revisionPtr revIDLastSave="0" documentId="13_ncr:1_{7D515652-9E8D-41E2-BF36-23FD8B34F1B7}" xr6:coauthVersionLast="47" xr6:coauthVersionMax="47" xr10:uidLastSave="{00000000-0000-0000-0000-000000000000}"/>
  <bookViews>
    <workbookView xWindow="3510" yWindow="4605" windowWidth="28800" windowHeight="15345" xr2:uid="{00000000-000D-0000-FFFF-FFFF00000000}"/>
  </bookViews>
  <sheets>
    <sheet name="Sheet1" sheetId="10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10" l="1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B26" i="10"/>
  <c r="B27" i="10"/>
  <c r="B28" i="10"/>
  <c r="B29" i="10"/>
  <c r="F2" i="10" l="1"/>
  <c r="F1" i="10"/>
  <c r="F3" i="10"/>
  <c r="D1" i="10"/>
  <c r="D2" i="10" a="1"/>
  <c r="D2" i="10" s="1"/>
  <c r="F28" i="10" l="1"/>
  <c r="F16" i="10"/>
  <c r="F5" i="10"/>
  <c r="F17" i="10"/>
  <c r="F7" i="10"/>
  <c r="F19" i="10"/>
  <c r="E19" i="10" s="1"/>
  <c r="F23" i="10"/>
  <c r="F24" i="10"/>
  <c r="E24" i="10" s="1"/>
  <c r="F18" i="10"/>
  <c r="E18" i="10" s="1"/>
  <c r="F6" i="10"/>
  <c r="E6" i="10" s="1"/>
  <c r="F10" i="10"/>
  <c r="E10" i="10" s="1"/>
  <c r="F22" i="10"/>
  <c r="E22" i="10" s="1"/>
  <c r="F11" i="10"/>
  <c r="F8" i="10"/>
  <c r="F20" i="10"/>
  <c r="F12" i="10"/>
  <c r="F9" i="10"/>
  <c r="E9" i="10" s="1"/>
  <c r="F13" i="10"/>
  <c r="E13" i="10" s="1"/>
  <c r="F25" i="10"/>
  <c r="E25" i="10" s="1"/>
  <c r="F14" i="10"/>
  <c r="E14" i="10" s="1"/>
  <c r="F26" i="10"/>
  <c r="E26" i="10" s="1"/>
  <c r="F15" i="10"/>
  <c r="E15" i="10" s="1"/>
  <c r="F21" i="10"/>
  <c r="E21" i="10" s="1"/>
  <c r="F27" i="10"/>
  <c r="E27" i="10" s="1"/>
  <c r="F29" i="10"/>
  <c r="D6" i="10"/>
  <c r="D18" i="10"/>
  <c r="D27" i="10"/>
  <c r="D7" i="10"/>
  <c r="C7" i="10" s="1"/>
  <c r="D19" i="10"/>
  <c r="C19" i="10" s="1"/>
  <c r="D21" i="10"/>
  <c r="D16" i="10"/>
  <c r="C16" i="10" s="1"/>
  <c r="D8" i="10"/>
  <c r="C8" i="10" s="1"/>
  <c r="D20" i="10"/>
  <c r="C20" i="10" s="1"/>
  <c r="D17" i="10"/>
  <c r="C17" i="10" s="1"/>
  <c r="D9" i="10"/>
  <c r="C9" i="10" s="1"/>
  <c r="D25" i="10"/>
  <c r="C25" i="10" s="1"/>
  <c r="D10" i="10"/>
  <c r="D22" i="10"/>
  <c r="D23" i="10"/>
  <c r="C23" i="10" s="1"/>
  <c r="D26" i="10"/>
  <c r="C26" i="10" s="1"/>
  <c r="D28" i="10"/>
  <c r="C28" i="10" s="1"/>
  <c r="D5" i="10"/>
  <c r="C5" i="10" s="1"/>
  <c r="D11" i="10"/>
  <c r="C11" i="10" s="1"/>
  <c r="D15" i="10"/>
  <c r="C15" i="10" s="1"/>
  <c r="D12" i="10"/>
  <c r="C12" i="10" s="1"/>
  <c r="D24" i="10"/>
  <c r="C24" i="10" s="1"/>
  <c r="D13" i="10"/>
  <c r="C13" i="10" s="1"/>
  <c r="D14" i="10"/>
  <c r="C14" i="10" s="1"/>
  <c r="D29" i="10"/>
  <c r="E7" i="10"/>
  <c r="E28" i="10"/>
  <c r="E16" i="10"/>
  <c r="E11" i="10"/>
  <c r="E23" i="10"/>
  <c r="E12" i="10"/>
  <c r="E8" i="10"/>
  <c r="E20" i="10"/>
  <c r="C18" i="10"/>
  <c r="C10" i="10"/>
  <c r="C22" i="10"/>
  <c r="E17" i="10"/>
  <c r="E5" i="10"/>
  <c r="C21" i="10"/>
  <c r="C6" i="10"/>
  <c r="C27" i="10"/>
  <c r="E29" i="10"/>
  <c r="C29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<sst xmlns="http://schemas.openxmlformats.org/spreadsheetml/2006/main" count="8" uniqueCount="8">
  <si>
    <t>Median</t>
  </si>
  <si>
    <t>MAD</t>
  </si>
  <si>
    <t>25=percentile</t>
  </si>
  <si>
    <t>75-percentile</t>
  </si>
  <si>
    <t>IQR</t>
  </si>
  <si>
    <t>&gt;3.5 MAD</t>
  </si>
  <si>
    <t>Data</t>
  </si>
  <si>
    <t>Z-Score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</si>
</sst>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1" fillId="0" borderId="0" xfId="0" applyFont="1" applyAlignment="1">
      <alignment vertical="center"/>
    </xf>
    <xf numFmtId="164" fontId="0" fillId="0" borderId="1" xfId="0" applyNumberFormat="1" applyBorder="1"/>
    <xf numFmtId="164" fontId="0" fillId="0" borderId="2" xfId="0" applyNumberFormat="1" applyBorder="1"/>
    <xf numFmtId="164" fontId="0" fillId="0" borderId="3" xfId="0" applyNumberFormat="1" applyBorder="1"/>
  </cellXfs>
  <cellStyles count="1">
    <cellStyle name="Normal" xfId="0" builtinId="0"/>
  </cellStyles>
  <dxfs count="1">
    <dxf>
      <fill>
        <patternFill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Sheet1!$B$4</c:f>
              <c:strCache>
                <c:ptCount val="1"/>
                <c:pt idx="0">
                  <c:v>Data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Sheet1!$A$5:$A$29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Sheet1!$B$5:$B$29</c:f>
              <c:numCache>
                <c:formatCode>General</c:formatCode>
                <c:ptCount val="25"/>
                <c:pt idx="0">
                  <c:v>13.340472164469924</c:v>
                </c:pt>
                <c:pt idx="1">
                  <c:v>22.508324145163659</c:v>
                </c:pt>
                <c:pt idx="2">
                  <c:v>6.102408328304703</c:v>
                </c:pt>
                <c:pt idx="3">
                  <c:v>9.5717810293756145</c:v>
                </c:pt>
                <c:pt idx="4">
                  <c:v>19.478931619515382</c:v>
                </c:pt>
                <c:pt idx="5">
                  <c:v>13.72198076392149</c:v>
                </c:pt>
                <c:pt idx="6">
                  <c:v>-18.238930182613249</c:v>
                </c:pt>
                <c:pt idx="7">
                  <c:v>-4.9043813580680891E-2</c:v>
                </c:pt>
                <c:pt idx="8">
                  <c:v>56.093528330830615</c:v>
                </c:pt>
                <c:pt idx="9">
                  <c:v>26.733573630499347</c:v>
                </c:pt>
                <c:pt idx="10">
                  <c:v>-19.865907834800069</c:v>
                </c:pt>
                <c:pt idx="11">
                  <c:v>-3.1664317334167911</c:v>
                </c:pt>
                <c:pt idx="12">
                  <c:v>2.9113734840299985</c:v>
                </c:pt>
                <c:pt idx="13">
                  <c:v>-10.231530556209796</c:v>
                </c:pt>
                <c:pt idx="14">
                  <c:v>-1.6529040164970032</c:v>
                </c:pt>
                <c:pt idx="15">
                  <c:v>-38.306396821165571</c:v>
                </c:pt>
                <c:pt idx="16">
                  <c:v>-0.18818253192871612</c:v>
                </c:pt>
                <c:pt idx="17">
                  <c:v>7.4294449225593731</c:v>
                </c:pt>
                <c:pt idx="18">
                  <c:v>-36.432615075548952</c:v>
                </c:pt>
                <c:pt idx="19">
                  <c:v>-33.335293748508747</c:v>
                </c:pt>
                <c:pt idx="20">
                  <c:v>-0.37303720897957371</c:v>
                </c:pt>
                <c:pt idx="21">
                  <c:v>31.211648883577965</c:v>
                </c:pt>
                <c:pt idx="22">
                  <c:v>-7.6650367603074621</c:v>
                </c:pt>
                <c:pt idx="23">
                  <c:v>-16.84483434117935</c:v>
                </c:pt>
                <c:pt idx="24">
                  <c:v>-47.66260519682244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ED-49C7-B4AB-522DC7C889A6}"/>
            </c:ext>
          </c:extLst>
        </c:ser>
        <c:ser>
          <c:idx val="1"/>
          <c:order val="1"/>
          <c:tx>
            <c:strRef>
              <c:f>Sheet1!$D$4</c:f>
              <c:strCache>
                <c:ptCount val="1"/>
                <c:pt idx="0">
                  <c:v>&gt;3.5 MAD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star"/>
            <c:size val="8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Sheet1!$A$5:$A$29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Sheet1!$C$5:$C$29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56.093528330830615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ED-49C7-B4AB-522DC7C889A6}"/>
            </c:ext>
          </c:extLst>
        </c:ser>
        <c:ser>
          <c:idx val="2"/>
          <c:order val="2"/>
          <c:tx>
            <c:strRef>
              <c:f>Sheet1!$F$4</c:f>
              <c:strCache>
                <c:ptCount val="1"/>
                <c:pt idx="0">
                  <c:v>Z-Score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triangle"/>
            <c:size val="8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Sheet1!$A$5:$A$29</c:f>
              <c:numCache>
                <c:formatCode>General</c:formatCode>
                <c:ptCount val="2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</c:numCache>
            </c:numRef>
          </c:xVal>
          <c:yVal>
            <c:numRef>
              <c:f>Sheet1!$E$5:$E$29</c:f>
              <c:numCache>
                <c:formatCode>General</c:formatCode>
                <c:ptCount val="2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ED-49C7-B4AB-522DC7C88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24976655"/>
        <c:axId val="1924985295"/>
      </c:scatterChart>
      <c:valAx>
        <c:axId val="1924976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4985295"/>
        <c:crosses val="autoZero"/>
        <c:crossBetween val="midCat"/>
      </c:valAx>
      <c:valAx>
        <c:axId val="1924985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249766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342900</xdr:colOff>
      <xdr:row>5</xdr:row>
      <xdr:rowOff>23812</xdr:rowOff>
    </xdr:from>
    <xdr:to>
      <xdr:col>15</xdr:col>
      <xdr:colOff>38100</xdr:colOff>
      <xdr:row>19</xdr:row>
      <xdr:rowOff>100012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B909C88-2E59-458E-8191-A9A3AF85C6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266700</xdr:colOff>
      <xdr:row>1</xdr:row>
      <xdr:rowOff>9525</xdr:rowOff>
    </xdr:from>
    <xdr:to>
      <xdr:col>10</xdr:col>
      <xdr:colOff>123825</xdr:colOff>
      <xdr:row>3</xdr:row>
      <xdr:rowOff>47625</xdr:rowOff>
    </xdr:to>
    <xdr:sp macro="[0]!Outliers" textlink="">
      <xdr:nvSpPr>
        <xdr:cNvPr id="3" name="Rectangle 2">
          <a:extLst>
            <a:ext uri="{FF2B5EF4-FFF2-40B4-BE49-F238E27FC236}">
              <a16:creationId xmlns:a16="http://schemas.microsoft.com/office/drawing/2014/main" id="{031AD626-E0B2-ADCB-FECE-F281E802C4AB}"/>
            </a:ext>
          </a:extLst>
        </xdr:cNvPr>
        <xdr:cNvSpPr/>
      </xdr:nvSpPr>
      <xdr:spPr>
        <a:xfrm>
          <a:off x="5143500" y="200025"/>
          <a:ext cx="1076325" cy="419100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 kern="1200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12F994-1B2F-4681-A607-037CD92E134C}">
  <sheetPr codeName="Sheet9"/>
  <dimension ref="A1:G29"/>
  <sheetViews>
    <sheetView tabSelected="1" workbookViewId="0"/>
  </sheetViews>
  <sheetFormatPr defaultRowHeight="15" x14ac:dyDescent="0.25"/>
  <sheetData>
    <row r="1" spans="1:7" x14ac:dyDescent="0.25">
      <c r="C1" t="s">
        <v>0</v>
      </c>
      <c r="D1" s="5">
        <f ca="1">MEDIAN(B5:B29)</f>
        <v>-0.18818253192871612</v>
      </c>
      <c r="F1" s="5">
        <f ca="1">_xlfn.QUARTILE.INC(B5:B29, 1)</f>
        <v>-16.84483434117935</v>
      </c>
      <c r="G1" t="s">
        <v>2</v>
      </c>
    </row>
    <row r="2" spans="1:7" x14ac:dyDescent="0.25">
      <c r="C2" t="s">
        <v>1</v>
      </c>
      <c r="D2" s="7" cm="1">
        <f t="array" aca="1" ref="D2" ca="1">MEDIAN(ABS(B5:B29 - MEDIAN(B5:B29)))</f>
        <v>13.910163295850206</v>
      </c>
      <c r="F2" s="6">
        <f ca="1">_xlfn.QUARTILE.INC(B5:B29, 3)</f>
        <v>13.340472164469924</v>
      </c>
      <c r="G2" t="s">
        <v>3</v>
      </c>
    </row>
    <row r="3" spans="1:7" x14ac:dyDescent="0.25">
      <c r="F3" s="7">
        <f ca="1">_xlfn.QUARTILE.INC(B5:B29, 3) - _xlfn.QUARTILE.INC(B5:B29, 1)</f>
        <v>30.185306505649272</v>
      </c>
      <c r="G3" t="s">
        <v>4</v>
      </c>
    </row>
    <row r="4" spans="1:7" x14ac:dyDescent="0.25">
      <c r="B4" s="4" t="s">
        <v>6</v>
      </c>
      <c r="C4" s="4"/>
      <c r="D4" s="4" t="s">
        <v>5</v>
      </c>
      <c r="E4" s="4"/>
      <c r="F4" s="4" t="s">
        <v>7</v>
      </c>
    </row>
    <row r="5" spans="1:7" x14ac:dyDescent="0.25">
      <c r="A5">
        <v>1</v>
      </c>
      <c r="B5" s="1">
        <f t="shared" ref="B5:B29" ca="1" si="0">NORMINV(RAND(), 30, 15)*(1-2*RAND())</f>
        <v>13.340472164469924</v>
      </c>
      <c r="C5" t="str">
        <f ca="1">IF(D5&lt;&gt;"",$B5,"")</f>
        <v/>
      </c>
      <c r="D5" s="1" t="str">
        <f t="shared" ref="D5:D29" ca="1" si="1">IF(ABS(D$1-B5)&gt;(3.5*D$2), "outlier", "")</f>
        <v/>
      </c>
      <c r="E5" t="str">
        <f ca="1">IF(F5&lt;&gt;"",$B5,"")</f>
        <v/>
      </c>
      <c r="F5" s="1" t="str">
        <f t="shared" ref="F5:F29" ca="1" si="2">IF(OR(B5&gt;($F$2+1.5*$F$3), B5&lt;($F$1-1.5*$F$3)), "OUTLIER","")</f>
        <v/>
      </c>
    </row>
    <row r="6" spans="1:7" x14ac:dyDescent="0.25">
      <c r="A6">
        <v>2</v>
      </c>
      <c r="B6" s="2">
        <f t="shared" ca="1" si="0"/>
        <v>22.508324145163659</v>
      </c>
      <c r="C6" t="str">
        <f t="shared" ref="C6:E21" ca="1" si="3">IF(D6&lt;&gt;"",$B6,"")</f>
        <v/>
      </c>
      <c r="D6" s="2" t="str">
        <f t="shared" ca="1" si="1"/>
        <v/>
      </c>
      <c r="E6" t="str">
        <f t="shared" ca="1" si="3"/>
        <v/>
      </c>
      <c r="F6" s="2" t="str">
        <f t="shared" ca="1" si="2"/>
        <v/>
      </c>
    </row>
    <row r="7" spans="1:7" x14ac:dyDescent="0.25">
      <c r="A7">
        <v>3</v>
      </c>
      <c r="B7" s="2">
        <f t="shared" ca="1" si="0"/>
        <v>6.102408328304703</v>
      </c>
      <c r="C7" t="str">
        <f t="shared" ca="1" si="3"/>
        <v/>
      </c>
      <c r="D7" s="2" t="str">
        <f t="shared" ca="1" si="1"/>
        <v/>
      </c>
      <c r="E7" t="str">
        <f t="shared" ca="1" si="3"/>
        <v/>
      </c>
      <c r="F7" s="2" t="str">
        <f t="shared" ca="1" si="2"/>
        <v/>
      </c>
    </row>
    <row r="8" spans="1:7" x14ac:dyDescent="0.25">
      <c r="A8">
        <v>4</v>
      </c>
      <c r="B8" s="2">
        <f t="shared" ca="1" si="0"/>
        <v>9.5717810293756145</v>
      </c>
      <c r="C8" t="str">
        <f t="shared" ca="1" si="3"/>
        <v/>
      </c>
      <c r="D8" s="2" t="str">
        <f t="shared" ca="1" si="1"/>
        <v/>
      </c>
      <c r="E8" t="str">
        <f t="shared" ca="1" si="3"/>
        <v/>
      </c>
      <c r="F8" s="2" t="str">
        <f t="shared" ca="1" si="2"/>
        <v/>
      </c>
    </row>
    <row r="9" spans="1:7" x14ac:dyDescent="0.25">
      <c r="A9">
        <v>5</v>
      </c>
      <c r="B9" s="2">
        <f t="shared" ca="1" si="0"/>
        <v>19.478931619515382</v>
      </c>
      <c r="C9" t="str">
        <f t="shared" ca="1" si="3"/>
        <v/>
      </c>
      <c r="D9" s="2" t="str">
        <f t="shared" ca="1" si="1"/>
        <v/>
      </c>
      <c r="E9" t="str">
        <f t="shared" ca="1" si="3"/>
        <v/>
      </c>
      <c r="F9" s="2" t="str">
        <f t="shared" ca="1" si="2"/>
        <v/>
      </c>
    </row>
    <row r="10" spans="1:7" x14ac:dyDescent="0.25">
      <c r="A10">
        <v>6</v>
      </c>
      <c r="B10" s="2">
        <f t="shared" ca="1" si="0"/>
        <v>13.72198076392149</v>
      </c>
      <c r="C10" t="str">
        <f t="shared" ca="1" si="3"/>
        <v/>
      </c>
      <c r="D10" s="2" t="str">
        <f t="shared" ca="1" si="1"/>
        <v/>
      </c>
      <c r="E10" t="str">
        <f t="shared" ca="1" si="3"/>
        <v/>
      </c>
      <c r="F10" s="2" t="str">
        <f t="shared" ca="1" si="2"/>
        <v/>
      </c>
    </row>
    <row r="11" spans="1:7" x14ac:dyDescent="0.25">
      <c r="A11">
        <v>7</v>
      </c>
      <c r="B11" s="2">
        <f t="shared" ca="1" si="0"/>
        <v>-18.238930182613249</v>
      </c>
      <c r="C11" t="str">
        <f t="shared" ca="1" si="3"/>
        <v/>
      </c>
      <c r="D11" s="2" t="str">
        <f t="shared" ca="1" si="1"/>
        <v/>
      </c>
      <c r="E11" t="str">
        <f t="shared" ca="1" si="3"/>
        <v/>
      </c>
      <c r="F11" s="2" t="str">
        <f t="shared" ca="1" si="2"/>
        <v/>
      </c>
    </row>
    <row r="12" spans="1:7" x14ac:dyDescent="0.25">
      <c r="A12">
        <v>8</v>
      </c>
      <c r="B12" s="2">
        <f t="shared" ca="1" si="0"/>
        <v>-4.9043813580680891E-2</v>
      </c>
      <c r="C12" t="str">
        <f t="shared" ca="1" si="3"/>
        <v/>
      </c>
      <c r="D12" s="2" t="str">
        <f t="shared" ca="1" si="1"/>
        <v/>
      </c>
      <c r="E12" t="str">
        <f t="shared" ca="1" si="3"/>
        <v/>
      </c>
      <c r="F12" s="2" t="str">
        <f t="shared" ca="1" si="2"/>
        <v/>
      </c>
    </row>
    <row r="13" spans="1:7" x14ac:dyDescent="0.25">
      <c r="A13">
        <v>9</v>
      </c>
      <c r="B13" s="2">
        <f t="shared" ca="1" si="0"/>
        <v>56.093528330830615</v>
      </c>
      <c r="C13">
        <f t="shared" ca="1" si="3"/>
        <v>56.093528330830615</v>
      </c>
      <c r="D13" s="2" t="str">
        <f t="shared" ca="1" si="1"/>
        <v>outlier</v>
      </c>
      <c r="E13" t="str">
        <f t="shared" ca="1" si="3"/>
        <v/>
      </c>
      <c r="F13" s="2" t="str">
        <f t="shared" ca="1" si="2"/>
        <v/>
      </c>
    </row>
    <row r="14" spans="1:7" x14ac:dyDescent="0.25">
      <c r="A14">
        <v>10</v>
      </c>
      <c r="B14" s="2">
        <f t="shared" ca="1" si="0"/>
        <v>26.733573630499347</v>
      </c>
      <c r="C14" t="str">
        <f t="shared" ca="1" si="3"/>
        <v/>
      </c>
      <c r="D14" s="2" t="str">
        <f t="shared" ca="1" si="1"/>
        <v/>
      </c>
      <c r="E14" t="str">
        <f t="shared" ca="1" si="3"/>
        <v/>
      </c>
      <c r="F14" s="2" t="str">
        <f t="shared" ca="1" si="2"/>
        <v/>
      </c>
    </row>
    <row r="15" spans="1:7" x14ac:dyDescent="0.25">
      <c r="A15">
        <v>11</v>
      </c>
      <c r="B15" s="2">
        <f t="shared" ca="1" si="0"/>
        <v>-19.865907834800069</v>
      </c>
      <c r="C15" t="str">
        <f t="shared" ca="1" si="3"/>
        <v/>
      </c>
      <c r="D15" s="2" t="str">
        <f t="shared" ca="1" si="1"/>
        <v/>
      </c>
      <c r="E15" t="str">
        <f t="shared" ca="1" si="3"/>
        <v/>
      </c>
      <c r="F15" s="2" t="str">
        <f t="shared" ca="1" si="2"/>
        <v/>
      </c>
    </row>
    <row r="16" spans="1:7" x14ac:dyDescent="0.25">
      <c r="A16">
        <v>12</v>
      </c>
      <c r="B16" s="2">
        <f t="shared" ca="1" si="0"/>
        <v>-3.1664317334167911</v>
      </c>
      <c r="C16" t="str">
        <f t="shared" ca="1" si="3"/>
        <v/>
      </c>
      <c r="D16" s="2" t="str">
        <f t="shared" ca="1" si="1"/>
        <v/>
      </c>
      <c r="E16" t="str">
        <f t="shared" ca="1" si="3"/>
        <v/>
      </c>
      <c r="F16" s="2" t="str">
        <f t="shared" ca="1" si="2"/>
        <v/>
      </c>
    </row>
    <row r="17" spans="1:6" x14ac:dyDescent="0.25">
      <c r="A17">
        <v>13</v>
      </c>
      <c r="B17" s="2">
        <f t="shared" ca="1" si="0"/>
        <v>2.9113734840299985</v>
      </c>
      <c r="C17" t="str">
        <f t="shared" ca="1" si="3"/>
        <v/>
      </c>
      <c r="D17" s="2" t="str">
        <f t="shared" ca="1" si="1"/>
        <v/>
      </c>
      <c r="E17" t="str">
        <f t="shared" ca="1" si="3"/>
        <v/>
      </c>
      <c r="F17" s="2" t="str">
        <f t="shared" ca="1" si="2"/>
        <v/>
      </c>
    </row>
    <row r="18" spans="1:6" x14ac:dyDescent="0.25">
      <c r="A18">
        <v>14</v>
      </c>
      <c r="B18" s="2">
        <f t="shared" ca="1" si="0"/>
        <v>-10.231530556209796</v>
      </c>
      <c r="C18" t="str">
        <f t="shared" ca="1" si="3"/>
        <v/>
      </c>
      <c r="D18" s="2" t="str">
        <f t="shared" ca="1" si="1"/>
        <v/>
      </c>
      <c r="E18" t="str">
        <f t="shared" ca="1" si="3"/>
        <v/>
      </c>
      <c r="F18" s="2" t="str">
        <f t="shared" ca="1" si="2"/>
        <v/>
      </c>
    </row>
    <row r="19" spans="1:6" x14ac:dyDescent="0.25">
      <c r="A19">
        <v>15</v>
      </c>
      <c r="B19" s="2">
        <f t="shared" ca="1" si="0"/>
        <v>-1.6529040164970032</v>
      </c>
      <c r="C19" t="str">
        <f t="shared" ca="1" si="3"/>
        <v/>
      </c>
      <c r="D19" s="2" t="str">
        <f t="shared" ca="1" si="1"/>
        <v/>
      </c>
      <c r="E19" t="str">
        <f t="shared" ca="1" si="3"/>
        <v/>
      </c>
      <c r="F19" s="2" t="str">
        <f t="shared" ca="1" si="2"/>
        <v/>
      </c>
    </row>
    <row r="20" spans="1:6" x14ac:dyDescent="0.25">
      <c r="A20">
        <v>16</v>
      </c>
      <c r="B20" s="2">
        <f t="shared" ca="1" si="0"/>
        <v>-38.306396821165571</v>
      </c>
      <c r="C20" t="str">
        <f t="shared" ca="1" si="3"/>
        <v/>
      </c>
      <c r="D20" s="2" t="str">
        <f t="shared" ca="1" si="1"/>
        <v/>
      </c>
      <c r="E20" t="str">
        <f t="shared" ca="1" si="3"/>
        <v/>
      </c>
      <c r="F20" s="2" t="str">
        <f t="shared" ca="1" si="2"/>
        <v/>
      </c>
    </row>
    <row r="21" spans="1:6" x14ac:dyDescent="0.25">
      <c r="A21">
        <v>17</v>
      </c>
      <c r="B21" s="2">
        <f t="shared" ca="1" si="0"/>
        <v>-0.18818253192871612</v>
      </c>
      <c r="C21" t="str">
        <f t="shared" ca="1" si="3"/>
        <v/>
      </c>
      <c r="D21" s="2" t="str">
        <f t="shared" ca="1" si="1"/>
        <v/>
      </c>
      <c r="E21" t="str">
        <f t="shared" ca="1" si="3"/>
        <v/>
      </c>
      <c r="F21" s="2" t="str">
        <f t="shared" ca="1" si="2"/>
        <v/>
      </c>
    </row>
    <row r="22" spans="1:6" x14ac:dyDescent="0.25">
      <c r="A22">
        <v>18</v>
      </c>
      <c r="B22" s="2">
        <f t="shared" ca="1" si="0"/>
        <v>7.4294449225593731</v>
      </c>
      <c r="C22" t="str">
        <f t="shared" ref="C22:E29" ca="1" si="4">IF(D22&lt;&gt;"",$B22,"")</f>
        <v/>
      </c>
      <c r="D22" s="2" t="str">
        <f t="shared" ca="1" si="1"/>
        <v/>
      </c>
      <c r="E22" t="str">
        <f t="shared" ca="1" si="4"/>
        <v/>
      </c>
      <c r="F22" s="2" t="str">
        <f t="shared" ca="1" si="2"/>
        <v/>
      </c>
    </row>
    <row r="23" spans="1:6" x14ac:dyDescent="0.25">
      <c r="A23">
        <v>19</v>
      </c>
      <c r="B23" s="2">
        <f t="shared" ca="1" si="0"/>
        <v>-36.432615075548952</v>
      </c>
      <c r="C23" t="str">
        <f t="shared" ca="1" si="4"/>
        <v/>
      </c>
      <c r="D23" s="2" t="str">
        <f t="shared" ca="1" si="1"/>
        <v/>
      </c>
      <c r="E23" t="str">
        <f t="shared" ca="1" si="4"/>
        <v/>
      </c>
      <c r="F23" s="2" t="str">
        <f t="shared" ca="1" si="2"/>
        <v/>
      </c>
    </row>
    <row r="24" spans="1:6" x14ac:dyDescent="0.25">
      <c r="A24">
        <v>20</v>
      </c>
      <c r="B24" s="2">
        <f t="shared" ca="1" si="0"/>
        <v>-33.335293748508747</v>
      </c>
      <c r="C24" t="str">
        <f t="shared" ca="1" si="4"/>
        <v/>
      </c>
      <c r="D24" s="2" t="str">
        <f t="shared" ca="1" si="1"/>
        <v/>
      </c>
      <c r="E24" t="str">
        <f t="shared" ca="1" si="4"/>
        <v/>
      </c>
      <c r="F24" s="2" t="str">
        <f t="shared" ca="1" si="2"/>
        <v/>
      </c>
    </row>
    <row r="25" spans="1:6" x14ac:dyDescent="0.25">
      <c r="A25">
        <v>21</v>
      </c>
      <c r="B25" s="2">
        <f t="shared" ca="1" si="0"/>
        <v>-0.37303720897957371</v>
      </c>
      <c r="C25" t="str">
        <f t="shared" ca="1" si="4"/>
        <v/>
      </c>
      <c r="D25" s="2" t="str">
        <f t="shared" ca="1" si="1"/>
        <v/>
      </c>
      <c r="E25" t="str">
        <f t="shared" ca="1" si="4"/>
        <v/>
      </c>
      <c r="F25" s="2" t="str">
        <f t="shared" ca="1" si="2"/>
        <v/>
      </c>
    </row>
    <row r="26" spans="1:6" x14ac:dyDescent="0.25">
      <c r="A26">
        <v>22</v>
      </c>
      <c r="B26" s="2">
        <f t="shared" ca="1" si="0"/>
        <v>31.211648883577965</v>
      </c>
      <c r="C26" t="str">
        <f t="shared" ca="1" si="4"/>
        <v/>
      </c>
      <c r="D26" s="2" t="str">
        <f t="shared" ca="1" si="1"/>
        <v/>
      </c>
      <c r="E26" t="str">
        <f t="shared" ca="1" si="4"/>
        <v/>
      </c>
      <c r="F26" s="2" t="str">
        <f t="shared" ca="1" si="2"/>
        <v/>
      </c>
    </row>
    <row r="27" spans="1:6" x14ac:dyDescent="0.25">
      <c r="A27">
        <v>23</v>
      </c>
      <c r="B27" s="2">
        <f t="shared" ca="1" si="0"/>
        <v>-7.6650367603074621</v>
      </c>
      <c r="C27" t="str">
        <f t="shared" ca="1" si="4"/>
        <v/>
      </c>
      <c r="D27" s="2" t="str">
        <f t="shared" ca="1" si="1"/>
        <v/>
      </c>
      <c r="E27" t="str">
        <f t="shared" ca="1" si="4"/>
        <v/>
      </c>
      <c r="F27" s="2" t="str">
        <f t="shared" ca="1" si="2"/>
        <v/>
      </c>
    </row>
    <row r="28" spans="1:6" x14ac:dyDescent="0.25">
      <c r="A28">
        <v>24</v>
      </c>
      <c r="B28" s="2">
        <f t="shared" ca="1" si="0"/>
        <v>-16.84483434117935</v>
      </c>
      <c r="C28" t="str">
        <f t="shared" ca="1" si="4"/>
        <v/>
      </c>
      <c r="D28" s="2" t="str">
        <f t="shared" ca="1" si="1"/>
        <v/>
      </c>
      <c r="E28" t="str">
        <f t="shared" ca="1" si="4"/>
        <v/>
      </c>
      <c r="F28" s="2" t="str">
        <f t="shared" ca="1" si="2"/>
        <v/>
      </c>
    </row>
    <row r="29" spans="1:6" x14ac:dyDescent="0.25">
      <c r="A29">
        <v>25</v>
      </c>
      <c r="B29" s="3">
        <f t="shared" ca="1" si="0"/>
        <v>-47.66260519682244</v>
      </c>
      <c r="C29" t="str">
        <f t="shared" ca="1" si="4"/>
        <v/>
      </c>
      <c r="D29" s="3" t="str">
        <f t="shared" ca="1" si="1"/>
        <v/>
      </c>
      <c r="E29" t="str">
        <f t="shared" ca="1" si="4"/>
        <v/>
      </c>
      <c r="F29" s="3" t="str">
        <f t="shared" ca="1" si="2"/>
        <v/>
      </c>
    </row>
  </sheetData>
  <conditionalFormatting sqref="D5:D29 F5:F29">
    <cfRule type="expression" dxfId="0" priority="1" stopIfTrue="1">
      <formula>AND($D5="outlier", $F5="OUTLIER")</formula>
    </cfRule>
    <cfRule type="expression" priority="2" stopIfTrue="1">
      <formula>AND($D5="outlier", $F5="OUTLIER")</formula>
    </cfRule>
    <cfRule type="expression" priority="3" stopIfTrue="1">
      <formula>AND($D5="outlier", $F5="OUTLIER")</formula>
    </cfRule>
    <cfRule type="expression" priority="4" stopIfTrue="1">
      <formula>AND($D5="outlier", $F5="OUTLIER")</formula>
    </cfRule>
    <cfRule type="expression" priority="5" stopIfTrue="1">
      <formula>AND($D5="outlier", $F5="OUTLIER")</formula>
    </cfRule>
    <cfRule type="expression" priority="6" stopIfTrue="1">
      <formula>AND($D5="outlier", $F5="OUTLIER")</formula>
    </cfRule>
    <cfRule type="expression" priority="7" stopIfTrue="1">
      <formula>AND($D5="outlier", $F5="OUTLIER")</formula>
    </cfRule>
    <cfRule type="expression" priority="8" stopIfTrue="1">
      <formula>AND($D5="outlier", $F5="OUTLIER")</formula>
    </cfRule>
    <cfRule type="expression" priority="9" stopIfTrue="1">
      <formula>AND($D5="outlier", $F5="OUTLIER")</formula>
    </cfRule>
    <cfRule type="expression" priority="10" stopIfTrue="1">
      <formula>AND($D5="outlier", $F5="OUTLIER")</formula>
    </cfRule>
    <cfRule type="expression" priority="11" stopIfTrue="1">
      <formula>AND($D5="outlier", $F5="OUTLIER")</formula>
    </cfRule>
    <cfRule type="expression" priority="12" stopIfTrue="1">
      <formula>AND($D5="outlier", $F5="OUTLIER")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Stiaccini, Isacco</dc:creator>
  <cp:lastModifiedBy>Stiaccini, Isacco</cp:lastModifiedBy>
  <dcterms:created xsi:type="dcterms:W3CDTF">2015-06-05T18:19:34Z</dcterms:created>
  <dcterms:modified xsi:type="dcterms:W3CDTF">2026-03-16T11:08:04Z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37f39543-76d7-4b0c-9b74-cf0a53ed8818_Enabled">
    <vt:lpwstr>true</vt:lpwstr>
  </property>
  <property fmtid="{D5CDD505-2E9C-101B-9397-08002B2CF9AE}" pid="3" name="MSIP_Label_37f39543-76d7-4b0c-9b74-cf0a53ed8818_SetDate">
    <vt:lpwstr>2026-02-25T15:09:15Z</vt:lpwstr>
  </property>
  <property fmtid="{D5CDD505-2E9C-101B-9397-08002B2CF9AE}" pid="4" name="MSIP_Label_37f39543-76d7-4b0c-9b74-cf0a53ed8818_Method">
    <vt:lpwstr>Privileged</vt:lpwstr>
  </property>
  <property fmtid="{D5CDD505-2E9C-101B-9397-08002B2CF9AE}" pid="5" name="MSIP_Label_37f39543-76d7-4b0c-9b74-cf0a53ed8818_Name">
    <vt:lpwstr>Public</vt:lpwstr>
  </property>
  <property fmtid="{D5CDD505-2E9C-101B-9397-08002B2CF9AE}" pid="6" name="MSIP_Label_37f39543-76d7-4b0c-9b74-cf0a53ed8818_SiteId">
    <vt:lpwstr>d584a4b7-b1f2-4714-a578-fd4d43c146a6</vt:lpwstr>
  </property>
  <property fmtid="{D5CDD505-2E9C-101B-9397-08002B2CF9AE}" pid="7" name="MSIP_Label_37f39543-76d7-4b0c-9b74-cf0a53ed8818_ActionId">
    <vt:lpwstr>37006ebb-f69e-44ff-97dc-14a5e793189d</vt:lpwstr>
  </property>
  <property fmtid="{D5CDD505-2E9C-101B-9397-08002B2CF9AE}" pid="8" name="MSIP_Label_37f39543-76d7-4b0c-9b74-cf0a53ed8818_ContentBits">
    <vt:lpwstr>0</vt:lpwstr>
  </property>
  <property fmtid="{D5CDD505-2E9C-101B-9397-08002B2CF9AE}" pid="9" name="MSIP_Label_37f39543-76d7-4b0c-9b74-cf0a53ed8818_Tag">
    <vt:lpwstr>10, 0, 1, 1</vt:lpwstr>
  </property>
</Properties>
</file>